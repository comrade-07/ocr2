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7e4ff0cc2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s" sheetId="1" r:id="Rfece4bcc67e24f70"/>
    <x:sheet xmlns:r="http://schemas.openxmlformats.org/officeDocument/2006/relationships" name="_notes" sheetId="2" r:id="R39b4abab280b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2616B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8ae544e7642e1" /><Relationship Type="http://schemas.openxmlformats.org/officeDocument/2006/relationships/theme" Target="/xl/theme/theme1.xml" Id="R65cb48ad01084cf1" /><Relationship Type="http://schemas.openxmlformats.org/officeDocument/2006/relationships/sharedStrings" Target="/xl/sharedStrings.xml" Id="Re4dc6ec1bdf740a8" /><Relationship Type="http://schemas.openxmlformats.org/officeDocument/2006/relationships/worksheet" Target="/xl/worksheets/sheet1.xml" Id="Rfece4bcc67e24f70" /><Relationship Type="http://schemas.openxmlformats.org/officeDocument/2006/relationships/worksheet" Target="/xl/worksheets/sheet2.xml" Id="R39b4abab280b43a2" /></Relationships>
</file>

<file path=xl/tables/table1.xml><?xml version="1.0" encoding="utf-8"?>
<x:table xmlns:x="http://schemas.openxmlformats.org/spreadsheetml/2006/main" id="1" name="ContractsTable" displayName="ContractsTable" ref="A1:AI26" headerRowCount="1" totalsRowCount="0" totalsRowShown="0">
  <x:tableColumns count="35">
    <x:tableColumn id="1" name="lookup_key"/>
    <x:tableColumn id="2" name="active"/>
    <x:tableColumn id="3" name="division"/>
    <x:tableColumn id="4" name="legal_entity"/>
    <x:tableColumn id="5" name="unit_name"/>
    <x:tableColumn id="6" name="supplier_name"/>
    <x:tableColumn id="7" name="contract_start_date"/>
    <x:tableColumn id="8" name="contract_end_date"/>
    <x:tableColumn id="9" name="contractual_instruments"/>
    <x:tableColumn id="10" name="bundle_or_unbundle"/>
    <x:tableColumn id="11" name="energy_source"/>
    <x:tableColumn id="12" name="energy_type"/>
    <x:tableColumn id="13" name="energy_unit"/>
    <x:tableColumn id="14" name="co2e"/>
    <x:tableColumn id="15" name="co2e_unit"/>
    <x:tableColumn id="16" name="ch4"/>
    <x:tableColumn id="17" name="ch4_unit"/>
    <x:tableColumn id="18" name="co2"/>
    <x:tableColumn id="19" name="co2_unit"/>
    <x:tableColumn id="20" name="hfcs"/>
    <x:tableColumn id="21" name="hfcs_unit"/>
    <x:tableColumn id="22" name="n2o"/>
    <x:tableColumn id="23" name="n2o_unit"/>
    <x:tableColumn id="24" name="nf3"/>
    <x:tableColumn id="25" name="nf3_unit"/>
    <x:tableColumn id="26" name="pfcs"/>
    <x:tableColumn id="27" name="pfcs_unit"/>
    <x:tableColumn id="28" name="sf6"/>
    <x:tableColumn id="29" name="sf6_unit"/>
    <x:tableColumn id="30" name="otherghgs"/>
    <x:tableColumn id="31" name="otherghgs_unit"/>
    <x:tableColumn id="32" name="source"/>
    <x:tableColumn id="33" name="created_by"/>
    <x:tableColumn id="34" name="reviewed_by"/>
    <x:tableColumn id="3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1f77ea23ba46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2" hidden="0" customWidth="1"/>
    <x:col min="2" max="2" width="11" hidden="0" customWidth="1"/>
    <x:col min="3" max="3" width="18" hidden="0" customWidth="1"/>
    <x:col min="4" max="4" width="34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28" hidden="0" customWidth="1"/>
    <x:col min="10" max="10" width="20" hidden="0" customWidth="1"/>
    <x:col min="11" max="11" width="18" hidden="0" customWidth="1"/>
    <x:col min="12" max="12" width="16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4" hidden="0" customWidth="1"/>
    <x:col min="31" max="31" width="16" hidden="0" customWidth="1"/>
    <x:col min="32" max="32" width="26" hidden="0" customWidth="1"/>
    <x:col min="33" max="33" width="16" hidden="0" customWidth="1"/>
    <x:col min="34" max="34" width="16" hidden="0" customWidth="1"/>
    <x:col min="35" max="35" width="34" hidden="0" customWidth="1"/>
  </x:cols>
  <x:sheetData>
    <x:row r="1">
      <x:c r="A1" s="5" t="str">
        <x:v>lookup_key</x:v>
      </x:c>
      <x:c r="B1" s="5" t="str">
        <x:v>active</x:v>
      </x:c>
      <x:c r="C1" s="5" t="str">
        <x:v>division</x:v>
      </x:c>
      <x:c r="D1" s="5" t="str">
        <x:v>legal_entity</x:v>
      </x:c>
      <x:c r="E1" s="5" t="str">
        <x:v>unit_name</x:v>
      </x:c>
      <x:c r="F1" s="5" t="str">
        <x:v>supplier_name</x:v>
      </x:c>
      <x:c r="G1" s="5" t="str">
        <x:v>contract_start_date</x:v>
      </x:c>
      <x:c r="H1" s="5" t="str">
        <x:v>contract_end_date</x:v>
      </x:c>
      <x:c r="I1" s="5" t="str">
        <x:v>contractual_instruments</x:v>
      </x:c>
      <x:c r="J1" s="5" t="str">
        <x:v>bundle_or_unbundle</x:v>
      </x:c>
      <x:c r="K1" s="5" t="str">
        <x:v>energy_source</x:v>
      </x:c>
      <x:c r="L1" s="5" t="str">
        <x:v>energy_type</x:v>
      </x:c>
      <x:c r="M1" s="5" t="str">
        <x:v>energy_unit</x:v>
      </x:c>
      <x:c r="N1" s="5" t="str">
        <x:v>co2e</x:v>
      </x:c>
      <x:c r="O1" s="5" t="str">
        <x:v>co2e_unit</x:v>
      </x:c>
      <x:c r="P1" s="5" t="str">
        <x:v>ch4</x:v>
      </x:c>
      <x:c r="Q1" s="5" t="str">
        <x:v>ch4_unit</x:v>
      </x:c>
      <x:c r="R1" s="5" t="str">
        <x:v>co2</x:v>
      </x:c>
      <x:c r="S1" s="5" t="str">
        <x:v>co2_unit</x:v>
      </x:c>
      <x:c r="T1" s="5" t="str">
        <x:v>hfcs</x:v>
      </x:c>
      <x:c r="U1" s="5" t="str">
        <x:v>hfcs_unit</x:v>
      </x:c>
      <x:c r="V1" s="5" t="str">
        <x:v>n2o</x:v>
      </x:c>
      <x:c r="W1" s="5" t="str">
        <x:v>n2o_unit</x:v>
      </x:c>
      <x:c r="X1" s="5" t="str">
        <x:v>nf3</x:v>
      </x:c>
      <x:c r="Y1" s="5" t="str">
        <x:v>nf3_unit</x:v>
      </x:c>
      <x:c r="Z1" s="5" t="str">
        <x:v>pfcs</x:v>
      </x:c>
      <x:c r="AA1" s="5" t="str">
        <x:v>pfcs_unit</x:v>
      </x:c>
      <x:c r="AB1" s="5" t="str">
        <x:v>sf6</x:v>
      </x:c>
      <x:c r="AC1" s="5" t="str">
        <x:v>sf6_unit</x:v>
      </x:c>
      <x:c r="AD1" s="5" t="str">
        <x:v>otherghgs</x:v>
      </x:c>
      <x:c r="AE1" s="5" t="str">
        <x:v>otherghgs_unit</x:v>
      </x:c>
      <x:c r="AF1" s="5" t="str">
        <x:v>source</x:v>
      </x:c>
      <x:c r="AG1" s="5" t="str">
        <x:v>created_by</x:v>
      </x:c>
      <x:c r="AH1" s="5" t="str">
        <x:v>reviewed_by</x:v>
      </x:c>
      <x:c r="AI1" s="5" t="str">
        <x:v>notes</x:v>
      </x:c>
    </x:row>
    <x:row r="2">
      <x:c r="A2" s="9" t="str">
        <x:f>IF(COUNTA(E2,F2,G2)=0,"",LOWER(TRIM(E2&amp;""))&amp;"_"&amp;LOWER(TRIM(F2&amp;""))&amp;"_"&amp;TEXT(G2,"0"))</x:f>
        <x:v>houston (corporate)_constellation newenergy incorporated_45666</x:v>
      </x:c>
      <x:c r="B2" s="10" t="str">
        <x:v>Yes</x:v>
      </x:c>
      <x:c r="C2" s="10" t="str">
        <x:v>Corporate</x:v>
      </x:c>
      <x:c r="D2" s="10" t="str">
        <x:v>Stolt_Nielsen_USA_Inc._Corporate</x:v>
      </x:c>
      <x:c r="E2" s="10" t="str">
        <x:v>Houston (Corporate)</x:v>
      </x:c>
      <x:c r="F2" s="10" t="str">
        <x:v>CONSTELLATION NEWENERGY INCORPORATED</x:v>
      </x:c>
      <x:c r="G2" s="11" t="n">
        <x:v>45666</x:v>
      </x:c>
      <x:c r="H2" s="11" t="n">
        <x:v>45930</x:v>
      </x:c>
      <x:c r="I2" s="10" t="str">
        <x:v>Contracts(e.g. PPAs)</x:v>
      </x:c>
      <x:c r="J2" s="10" t="str">
        <x:v>Unbundled</x:v>
      </x:c>
      <x:c r="K2" s="10" t="str">
        <x:v>Mix-renewable</x:v>
      </x:c>
      <x:c r="L2" s="10" t="str">
        <x:v>Electricity</x:v>
      </x:c>
      <x:c r="M2" s="10" t="str">
        <x:v>kWh</x:v>
      </x:c>
      <x:c r="N2" s="10" t="n">
        <x:v>0</x:v>
      </x:c>
      <x:c r="O2" s="10" t="str">
        <x:v>kg</x:v>
      </x:c>
      <x:c r="P2" s="10" t="n">
        <x:v>0</x:v>
      </x:c>
      <x:c r="Q2" s="10" t="str">
        <x:v>kg</x:v>
      </x:c>
      <x:c r="R2" s="10" t="n">
        <x:v>0</x:v>
      </x:c>
      <x:c r="S2" s="10" t="str">
        <x:v>kg</x:v>
      </x:c>
      <x:c r="T2" s="10"/>
      <x:c r="U2" s="10"/>
      <x:c r="V2" s="10" t="n">
        <x:v>0</x:v>
      </x:c>
      <x:c r="W2" s="10" t="str">
        <x:v>kg</x:v>
      </x:c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</x:row>
    <x:row r="3">
      <x:c r="A3" s="9" t="str">
        <x:f>IF(COUNTA(E3,F3,G3)=0,"",LOWER(TRIM(E3&amp;""))&amp;"_"&amp;LOWER(TRIM(F3&amp;""))&amp;"_"&amp;TEXT(G3,"0"))</x:f>
      </x:c>
      <x:c r="B3" s="10"/>
      <x:c r="C3" s="10"/>
      <x:c r="D3" s="10"/>
      <x:c r="E3" s="10"/>
      <x:c r="F3" s="10"/>
      <x:c r="G3" s="11"/>
      <x:c r="H3" s="11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</x:row>
    <x:row r="4">
      <x:c r="A4" s="9" t="str">
        <x:f>IF(COUNTA(E4,F4,G4)=0,"",LOWER(TRIM(E4&amp;""))&amp;"_"&amp;LOWER(TRIM(F4&amp;""))&amp;"_"&amp;TEXT(G4,"0"))</x:f>
      </x:c>
      <x:c r="B4" s="10"/>
      <x:c r="C4" s="10"/>
      <x:c r="D4" s="10"/>
      <x:c r="E4" s="10"/>
      <x:c r="F4" s="10"/>
      <x:c r="G4" s="11"/>
      <x:c r="H4" s="11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  <x:c r="AH4" s="10"/>
      <x:c r="AI4" s="10"/>
    </x:row>
    <x:row r="5">
      <x:c r="A5" s="9" t="str">
        <x:f>IF(COUNTA(E5,F5,G5)=0,"",LOWER(TRIM(E5&amp;""))&amp;"_"&amp;LOWER(TRIM(F5&amp;""))&amp;"_"&amp;TEXT(G5,"0"))</x:f>
      </x:c>
      <x:c r="B5" s="10"/>
      <x:c r="C5" s="10"/>
      <x:c r="D5" s="10"/>
      <x:c r="E5" s="10"/>
      <x:c r="F5" s="10"/>
      <x:c r="G5" s="11"/>
      <x:c r="H5" s="11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</x:row>
    <x:row r="6">
      <x:c r="A6" s="9" t="str">
        <x:f>IF(COUNTA(E6,F6,G6)=0,"",LOWER(TRIM(E6&amp;""))&amp;"_"&amp;LOWER(TRIM(F6&amp;""))&amp;"_"&amp;TEXT(G6,"0"))</x:f>
      </x:c>
      <x:c r="B6" s="10"/>
      <x:c r="C6" s="10"/>
      <x:c r="D6" s="10"/>
      <x:c r="E6" s="10"/>
      <x:c r="F6" s="10"/>
      <x:c r="G6" s="11"/>
      <x:c r="H6" s="11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</x:row>
    <x:row r="7">
      <x:c r="A7" s="9" t="str">
        <x:f>IF(COUNTA(E7,F7,G7)=0,"",LOWER(TRIM(E7&amp;""))&amp;"_"&amp;LOWER(TRIM(F7&amp;""))&amp;"_"&amp;TEXT(G7,"0"))</x:f>
      </x:c>
      <x:c r="B7" s="10"/>
      <x:c r="C7" s="10"/>
      <x:c r="D7" s="10"/>
      <x:c r="E7" s="10"/>
      <x:c r="F7" s="10"/>
      <x:c r="G7" s="11"/>
      <x:c r="H7" s="11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/>
      <x:c r="AG7" s="10"/>
      <x:c r="AH7" s="10"/>
      <x:c r="AI7" s="10"/>
    </x:row>
    <x:row r="8">
      <x:c r="A8" s="9" t="str">
        <x:f>IF(COUNTA(E8,F8,G8)=0,"",LOWER(TRIM(E8&amp;""))&amp;"_"&amp;LOWER(TRIM(F8&amp;""))&amp;"_"&amp;TEXT(G8,"0"))</x:f>
      </x:c>
      <x:c r="B8" s="10"/>
      <x:c r="C8" s="10"/>
      <x:c r="D8" s="10"/>
      <x:c r="E8" s="10"/>
      <x:c r="F8" s="10"/>
      <x:c r="G8" s="11"/>
      <x:c r="H8" s="11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</x:row>
    <x:row r="9">
      <x:c r="A9" s="9" t="str">
        <x:f>IF(COUNTA(E9,F9,G9)=0,"",LOWER(TRIM(E9&amp;""))&amp;"_"&amp;LOWER(TRIM(F9&amp;""))&amp;"_"&amp;TEXT(G9,"0"))</x:f>
      </x:c>
      <x:c r="B9" s="10"/>
      <x:c r="C9" s="10"/>
      <x:c r="D9" s="10"/>
      <x:c r="E9" s="10"/>
      <x:c r="F9" s="10"/>
      <x:c r="G9" s="11"/>
      <x:c r="H9" s="11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  <x:c r="AE9" s="10"/>
      <x:c r="AF9" s="10"/>
      <x:c r="AG9" s="10"/>
      <x:c r="AH9" s="10"/>
      <x:c r="AI9" s="10"/>
    </x:row>
    <x:row r="10">
      <x:c r="A10" s="9" t="str">
        <x:f>IF(COUNTA(E10,F10,G10)=0,"",LOWER(TRIM(E10&amp;""))&amp;"_"&amp;LOWER(TRIM(F10&amp;""))&amp;"_"&amp;TEXT(G10,"0"))</x:f>
      </x:c>
      <x:c r="B10" s="10"/>
      <x:c r="C10" s="10"/>
      <x:c r="D10" s="10"/>
      <x:c r="E10" s="10"/>
      <x:c r="F10" s="10"/>
      <x:c r="G10" s="11"/>
      <x:c r="H10" s="11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</x:row>
    <x:row r="11">
      <x:c r="A11" s="9" t="str">
        <x:f>IF(COUNTA(E11,F11,G11)=0,"",LOWER(TRIM(E11&amp;""))&amp;"_"&amp;LOWER(TRIM(F11&amp;""))&amp;"_"&amp;TEXT(G11,"0"))</x:f>
      </x:c>
      <x:c r="B11" s="10"/>
      <x:c r="C11" s="10"/>
      <x:c r="D11" s="10"/>
      <x:c r="E11" s="10"/>
      <x:c r="F11" s="10"/>
      <x:c r="G11" s="11"/>
      <x:c r="H11" s="11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0"/>
      <x:c r="AE11" s="10"/>
      <x:c r="AF11" s="10"/>
      <x:c r="AG11" s="10"/>
      <x:c r="AH11" s="10"/>
      <x:c r="AI11" s="10"/>
    </x:row>
    <x:row r="12">
      <x:c r="A12" s="9" t="str">
        <x:f>IF(COUNTA(E12,F12,G12)=0,"",LOWER(TRIM(E12&amp;""))&amp;"_"&amp;LOWER(TRIM(F12&amp;""))&amp;"_"&amp;TEXT(G12,"0"))</x:f>
      </x:c>
      <x:c r="B12" s="10"/>
      <x:c r="C12" s="10"/>
      <x:c r="D12" s="10"/>
      <x:c r="E12" s="10"/>
      <x:c r="F12" s="10"/>
      <x:c r="G12" s="11"/>
      <x:c r="H12" s="11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  <x:c r="AC12" s="10"/>
      <x:c r="AD12" s="10"/>
      <x:c r="AE12" s="10"/>
      <x:c r="AF12" s="10"/>
      <x:c r="AG12" s="10"/>
      <x:c r="AH12" s="10"/>
      <x:c r="AI12" s="10"/>
    </x:row>
    <x:row r="13">
      <x:c r="A13" s="9" t="str">
        <x:f>IF(COUNTA(E13,F13,G13)=0,"",LOWER(TRIM(E13&amp;""))&amp;"_"&amp;LOWER(TRIM(F13&amp;""))&amp;"_"&amp;TEXT(G13,"0"))</x:f>
      </x:c>
      <x:c r="B13" s="10"/>
      <x:c r="C13" s="10"/>
      <x:c r="D13" s="10"/>
      <x:c r="E13" s="10"/>
      <x:c r="F13" s="10"/>
      <x:c r="G13" s="11"/>
      <x:c r="H13" s="11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0"/>
      <x:c r="AC13" s="10"/>
      <x:c r="AD13" s="10"/>
      <x:c r="AE13" s="10"/>
      <x:c r="AF13" s="10"/>
      <x:c r="AG13" s="10"/>
      <x:c r="AH13" s="10"/>
      <x:c r="AI13" s="10"/>
    </x:row>
    <x:row r="14">
      <x:c r="A14" s="9" t="str">
        <x:f>IF(COUNTA(E14,F14,G14)=0,"",LOWER(TRIM(E14&amp;""))&amp;"_"&amp;LOWER(TRIM(F14&amp;""))&amp;"_"&amp;TEXT(G14,"0"))</x:f>
      </x:c>
      <x:c r="B14" s="10"/>
      <x:c r="C14" s="10"/>
      <x:c r="D14" s="10"/>
      <x:c r="E14" s="10"/>
      <x:c r="F14" s="10"/>
      <x:c r="G14" s="11"/>
      <x:c r="H14" s="11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0"/>
      <x:c r="AE14" s="10"/>
      <x:c r="AF14" s="10"/>
      <x:c r="AG14" s="10"/>
      <x:c r="AH14" s="10"/>
      <x:c r="AI14" s="10"/>
    </x:row>
    <x:row r="15">
      <x:c r="A15" s="9" t="str">
        <x:f>IF(COUNTA(E15,F15,G15)=0,"",LOWER(TRIM(E15&amp;""))&amp;"_"&amp;LOWER(TRIM(F15&amp;""))&amp;"_"&amp;TEXT(G15,"0"))</x:f>
      </x:c>
      <x:c r="B15" s="10"/>
      <x:c r="C15" s="10"/>
      <x:c r="D15" s="10"/>
      <x:c r="E15" s="10"/>
      <x:c r="F15" s="10"/>
      <x:c r="G15" s="11"/>
      <x:c r="H15" s="11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  <x:c r="AF15" s="10"/>
      <x:c r="AG15" s="10"/>
      <x:c r="AH15" s="10"/>
      <x:c r="AI15" s="10"/>
    </x:row>
    <x:row r="16">
      <x:c r="A16" s="9" t="str">
        <x:f>IF(COUNTA(E16,F16,G16)=0,"",LOWER(TRIM(E16&amp;""))&amp;"_"&amp;LOWER(TRIM(F16&amp;""))&amp;"_"&amp;TEXT(G16,"0"))</x:f>
      </x:c>
      <x:c r="B16" s="10"/>
      <x:c r="C16" s="10"/>
      <x:c r="D16" s="10"/>
      <x:c r="E16" s="10"/>
      <x:c r="F16" s="10"/>
      <x:c r="G16" s="11"/>
      <x:c r="H16" s="11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  <x:c r="AE16" s="10"/>
      <x:c r="AF16" s="10"/>
      <x:c r="AG16" s="10"/>
      <x:c r="AH16" s="10"/>
      <x:c r="AI16" s="10"/>
    </x:row>
    <x:row r="17">
      <x:c r="A17" s="9" t="str">
        <x:f>IF(COUNTA(E17,F17,G17)=0,"",LOWER(TRIM(E17&amp;""))&amp;"_"&amp;LOWER(TRIM(F17&amp;""))&amp;"_"&amp;TEXT(G17,"0"))</x:f>
      </x:c>
      <x:c r="B17" s="10"/>
      <x:c r="C17" s="10"/>
      <x:c r="D17" s="10"/>
      <x:c r="E17" s="10"/>
      <x:c r="F17" s="10"/>
      <x:c r="G17" s="11"/>
      <x:c r="H17" s="11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  <x:c r="AE17" s="10"/>
      <x:c r="AF17" s="10"/>
      <x:c r="AG17" s="10"/>
      <x:c r="AH17" s="10"/>
      <x:c r="AI17" s="10"/>
    </x:row>
    <x:row r="18">
      <x:c r="A18" s="9" t="str">
        <x:f>IF(COUNTA(E18,F18,G18)=0,"",LOWER(TRIM(E18&amp;""))&amp;"_"&amp;LOWER(TRIM(F18&amp;""))&amp;"_"&amp;TEXT(G18,"0"))</x:f>
      </x:c>
      <x:c r="B18" s="10"/>
      <x:c r="C18" s="10"/>
      <x:c r="D18" s="10"/>
      <x:c r="E18" s="10"/>
      <x:c r="F18" s="10"/>
      <x:c r="G18" s="11"/>
      <x:c r="H18" s="11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0"/>
      <x:c r="AE18" s="10"/>
      <x:c r="AF18" s="10"/>
      <x:c r="AG18" s="10"/>
      <x:c r="AH18" s="10"/>
      <x:c r="AI18" s="10"/>
    </x:row>
    <x:row r="19">
      <x:c r="A19" s="9" t="str">
        <x:f>IF(COUNTA(E19,F19,G19)=0,"",LOWER(TRIM(E19&amp;""))&amp;"_"&amp;LOWER(TRIM(F19&amp;""))&amp;"_"&amp;TEXT(G19,"0"))</x:f>
      </x:c>
      <x:c r="B19" s="10"/>
      <x:c r="C19" s="10"/>
      <x:c r="D19" s="10"/>
      <x:c r="E19" s="10"/>
      <x:c r="F19" s="10"/>
      <x:c r="G19" s="11"/>
      <x:c r="H19" s="11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  <x:c r="AA19" s="10"/>
      <x:c r="AB19" s="10"/>
      <x:c r="AC19" s="10"/>
      <x:c r="AD19" s="10"/>
      <x:c r="AE19" s="10"/>
      <x:c r="AF19" s="10"/>
      <x:c r="AG19" s="10"/>
      <x:c r="AH19" s="10"/>
      <x:c r="AI19" s="10"/>
    </x:row>
    <x:row r="20">
      <x:c r="A20" s="9" t="str">
        <x:f>IF(COUNTA(E20,F20,G20)=0,"",LOWER(TRIM(E20&amp;""))&amp;"_"&amp;LOWER(TRIM(F20&amp;""))&amp;"_"&amp;TEXT(G20,"0"))</x:f>
      </x:c>
      <x:c r="B20" s="10"/>
      <x:c r="C20" s="10"/>
      <x:c r="D20" s="10"/>
      <x:c r="E20" s="10"/>
      <x:c r="F20" s="10"/>
      <x:c r="G20" s="11"/>
      <x:c r="H20" s="11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0"/>
      <x:c r="AE20" s="10"/>
      <x:c r="AF20" s="10"/>
      <x:c r="AG20" s="10"/>
      <x:c r="AH20" s="10"/>
      <x:c r="AI20" s="10"/>
    </x:row>
    <x:row r="21">
      <x:c r="A21" s="9" t="str">
        <x:f>IF(COUNTA(E21,F21,G21)=0,"",LOWER(TRIM(E21&amp;""))&amp;"_"&amp;LOWER(TRIM(F21&amp;""))&amp;"_"&amp;TEXT(G21,"0"))</x:f>
      </x:c>
      <x:c r="B21" s="10"/>
      <x:c r="C21" s="10"/>
      <x:c r="D21" s="10"/>
      <x:c r="E21" s="10"/>
      <x:c r="F21" s="10"/>
      <x:c r="G21" s="11"/>
      <x:c r="H21" s="11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0"/>
      <x:c r="AC21" s="10"/>
      <x:c r="AD21" s="10"/>
      <x:c r="AE21" s="10"/>
      <x:c r="AF21" s="10"/>
      <x:c r="AG21" s="10"/>
      <x:c r="AH21" s="10"/>
      <x:c r="AI21" s="10"/>
    </x:row>
    <x:row r="22">
      <x:c r="A22" s="9" t="str">
        <x:f>IF(COUNTA(E22,F22,G22)=0,"",LOWER(TRIM(E22&amp;""))&amp;"_"&amp;LOWER(TRIM(F22&amp;""))&amp;"_"&amp;TEXT(G22,"0"))</x:f>
      </x:c>
      <x:c r="B22" s="10"/>
      <x:c r="C22" s="10"/>
      <x:c r="D22" s="10"/>
      <x:c r="E22" s="10"/>
      <x:c r="F22" s="10"/>
      <x:c r="G22" s="11"/>
      <x:c r="H22" s="11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  <x:c r="AE22" s="10"/>
      <x:c r="AF22" s="10"/>
      <x:c r="AG22" s="10"/>
      <x:c r="AH22" s="10"/>
      <x:c r="AI22" s="10"/>
    </x:row>
    <x:row r="23">
      <x:c r="A23" s="9" t="str">
        <x:f>IF(COUNTA(E23,F23,G23)=0,"",LOWER(TRIM(E23&amp;""))&amp;"_"&amp;LOWER(TRIM(F23&amp;""))&amp;"_"&amp;TEXT(G23,"0"))</x:f>
      </x:c>
      <x:c r="B23" s="10"/>
      <x:c r="C23" s="10"/>
      <x:c r="D23" s="10"/>
      <x:c r="E23" s="10"/>
      <x:c r="F23" s="10"/>
      <x:c r="G23" s="11"/>
      <x:c r="H23" s="11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  <x:c r="AC23" s="10"/>
      <x:c r="AD23" s="10"/>
      <x:c r="AE23" s="10"/>
      <x:c r="AF23" s="10"/>
      <x:c r="AG23" s="10"/>
      <x:c r="AH23" s="10"/>
      <x:c r="AI23" s="10"/>
    </x:row>
    <x:row r="24">
      <x:c r="A24" s="9" t="str">
        <x:f>IF(COUNTA(E24,F24,G24)=0,"",LOWER(TRIM(E24&amp;""))&amp;"_"&amp;LOWER(TRIM(F24&amp;""))&amp;"_"&amp;TEXT(G24,"0"))</x:f>
      </x:c>
      <x:c r="B24" s="10"/>
      <x:c r="C24" s="10"/>
      <x:c r="D24" s="10"/>
      <x:c r="E24" s="10"/>
      <x:c r="F24" s="10"/>
      <x:c r="G24" s="11"/>
      <x:c r="H24" s="11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  <x:c r="AE24" s="10"/>
      <x:c r="AF24" s="10"/>
      <x:c r="AG24" s="10"/>
      <x:c r="AH24" s="10"/>
      <x:c r="AI24" s="10"/>
    </x:row>
    <x:row r="25">
      <x:c r="A25" s="9" t="str">
        <x:f>IF(COUNTA(E25,F25,G25)=0,"",LOWER(TRIM(E25&amp;""))&amp;"_"&amp;LOWER(TRIM(F25&amp;""))&amp;"_"&amp;TEXT(G25,"0"))</x:f>
      </x:c>
      <x:c r="B25" s="10"/>
      <x:c r="C25" s="10"/>
      <x:c r="D25" s="10"/>
      <x:c r="E25" s="10"/>
      <x:c r="F25" s="10"/>
      <x:c r="G25" s="11"/>
      <x:c r="H25" s="11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0"/>
      <x:c r="AE25" s="10"/>
      <x:c r="AF25" s="10"/>
      <x:c r="AG25" s="10"/>
      <x:c r="AH25" s="10"/>
      <x:c r="AI25" s="10"/>
    </x:row>
    <x:row r="26">
      <x:c r="A26" s="9" t="str">
        <x:f>IF(COUNTA(E26,F26,G26)=0,"",LOWER(TRIM(E26&amp;""))&amp;"_"&amp;LOWER(TRIM(F26&amp;""))&amp;"_"&amp;TEXT(G26,"0"))</x:f>
      </x:c>
      <x:c r="B26" s="10"/>
      <x:c r="C26" s="10"/>
      <x:c r="D26" s="10"/>
      <x:c r="E26" s="10"/>
      <x:c r="F26" s="10"/>
      <x:c r="G26" s="11"/>
      <x:c r="H26" s="11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  <x:c r="AE26" s="10"/>
      <x:c r="AF26" s="10"/>
      <x:c r="AG26" s="10"/>
      <x:c r="AH26" s="10"/>
      <x:c r="AI26" s="10"/>
    </x:row>
  </x:sheetData>
  <x:dataValidations count="1">
    <x:dataValidation type="list" sqref="B2:B2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1f77ea23ba46a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62" hidden="0" customWidth="1"/>
    <x:col min="4" max="4" width="68" hidden="0" customWidth="1"/>
  </x:cols>
  <x:sheetData>
    <x:row r="1">
      <x:c r="A1" s="3" t="str">
        <x:v>Workbook</x:v>
      </x:c>
      <x:c r="B1" s="3" t="str">
        <x:v>Purpose</x:v>
      </x:c>
      <x:c r="C1" s="3" t="str">
        <x:v>Python lookup key</x:v>
      </x:c>
      <x:c r="D1" s="3" t="str">
        <x:v>Update notes</x:v>
      </x:c>
    </x:row>
    <x:row r="2">
      <x:c r="A2" s="14" t="str">
        <x:v>contracts</x:v>
      </x:c>
      <x:c r="B2" s="14" t="str">
        <x:v>Editable reference table used by OCR-to-gold enrichment.</x:v>
      </x:c>
      <x:c r="C2" s="14" t="str">
        <x:v>unit_name_supplier_name_contract_start_date</x:v>
      </x:c>
      <x:c r="D2" s="14" t="str">
        <x:v>Edit rows in the main table. Keep lookup_key formulas intact or copy the formula down for new rows.</x:v>
      </x:c>
    </x:row>
  </x:sheetData>
  <x:pageMargins left="0.7" right="0.7" top="0.75" bottom="0.75" header="0.3" footer="0.3"/>
</x:worksheet>
</file>